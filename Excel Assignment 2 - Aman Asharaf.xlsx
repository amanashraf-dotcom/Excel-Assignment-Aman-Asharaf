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d.docs.live.net/dfde20c7b95c1329/Documents/"/>
    </mc:Choice>
  </mc:AlternateContent>
  <xr:revisionPtr revIDLastSave="0" documentId="8_{D039CA36-8AEF-42B7-97EF-71AA38882643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Instructions" sheetId="1" r:id="rId1"/>
    <sheet name="Dataset" sheetId="2" r:id="rId2"/>
    <sheet name="Answ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H15" i="3" l="1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" i="3"/>
  <c r="H4" i="3"/>
  <c r="H5" i="3"/>
  <c r="H6" i="3"/>
  <c r="H7" i="3"/>
  <c r="H8" i="3"/>
  <c r="H9" i="3"/>
  <c r="H10" i="3"/>
  <c r="H11" i="3"/>
  <c r="H12" i="3"/>
  <c r="H13" i="3"/>
  <c r="H14" i="3"/>
  <c r="H2" i="3"/>
  <c r="K2" i="3" a="1"/>
  <c r="K2" i="3" s="1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<sst xmlns="http://schemas.openxmlformats.org/spreadsheetml/2006/main" count="350" uniqueCount="139">
  <si>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</si>
  <si>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</si>
  <si>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</si>
  <si>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</si>
  <si>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</si>
  <si>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</si>
  <si>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</si>
  <si>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</si>
  <si>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</si>
  <si>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</si>
  <si>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</si>
  <si>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</si>
  <si>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</si>
  <si>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</si>
  <si>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</si>
  <si>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</si>
  <si>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</si>
  <si>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</si>
  <si>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</si>
  <si>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</si>
  <si>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</si>
  <si>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</si>
  <si>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</si>
  <si>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</si>
  <si>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</si>
  <si>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</si>
  <si>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</si>
  <si>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</si>
  <si>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</si>
  <si>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</si>
  <si>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</si>
  <si>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</si>
  <si>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</si>
  <si>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</si>
  <si>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</si>
  <si>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</si>
  <si>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</si>
  <si>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</si>
  <si>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</si>
  <si>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</si>
  <si>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</si>
  <si>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</si>
  <si>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</si>
  <si>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</si>
  <si>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</si>
  <si>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</si>
  <si>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</si>
  <si>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</si>
  <si>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</si>
  <si>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</si>
  <si>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</si>
  <si>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</si>
  <si>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</si>
  <si>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</si>
  <si>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</si>
  <si>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</si>
  <si>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</si>
  <si>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</si>
  <si>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</si>
  <si>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</si>
  <si>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</si>
  <si>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</si>
  <si>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</si>
  <si>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</si>
  <si>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</si>
  <si>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</si>
  <si>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</si>
  <si>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</si>
  <si>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</si>
  <si>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</si>
  <si>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</si>
  <si>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</si>
  <si>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</si>
  <si>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</si>
  <si>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</si>
  <si>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</si>
  <si>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</si>
  <si>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</si>
  <si>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</si>
  <si>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</si>
  <si>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</si>
  <si>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</si>
  <si>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</si>
  <si>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</si>
  <si>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</si>
  <si>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</si>
  <si>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</si>
  <si>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</si>
  <si>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</si>
  <si>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</si>
  <si>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</si>
  <si>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</si>
  <si>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</si>
  <si>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</si>
  <si>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</si>
  <si>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</si>
  <si>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</si>
  <si>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</si>
  <si>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</si>
  <si>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</si>
  <si>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</si>
  <si>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</si>
  <si>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</si>
  <si>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</si>
  <si>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</si>
  <si>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</si>
  <si>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</si>
  <si>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</si>
  <si>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</si>
  <si>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</si>
  <si>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</si>
  <si>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</si>
  <si>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</si>
  <si>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</si>
  <si>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</si>
  <si>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</si>
  <si>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IMPUTATION DONE</t>
  </si>
  <si>
    <t>Price Imputation</t>
  </si>
  <si>
    <t>Category Imputation</t>
  </si>
  <si>
    <t>FOUND AND REPLACED</t>
  </si>
  <si>
    <t>laptop--Laptop</t>
  </si>
  <si>
    <t>Electroni-- Electronics</t>
  </si>
  <si>
    <t>DONE</t>
  </si>
  <si>
    <t>DUPLICATES REMOVED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</si>
  <si>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</si>
  <si>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</si>
  <si>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</si>
  <si>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</si>
  <si>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</si>
  <si>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</si>
  <si>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</si>
  <si>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</si>
  <si>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</si>
  <si>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</si>
  <si>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</si>
  <si>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</si>
  <si>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MANUFACTURING DATE</t>
  </si>
  <si>
    <t>COUNTRY CODE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</si>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</sst>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$&quot;#,##0.00"/>
    <numFmt numFmtId="167" formatCode="dd\-mm\-yyyy;@"/>
  </numFmts>
  <fonts count="12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9" fillId="0" borderId="0" xfId="0" applyFont="1"/>
    <xf numFmtId="0" fontId="10" fillId="2" borderId="0" xfId="0" applyFont="1" applyFill="1" applyAlignment="1">
      <alignment horizontal="center"/>
    </xf>
    <xf numFmtId="0" fontId="11" fillId="0" borderId="0" xfId="0" applyFont="1"/>
    <xf numFmtId="0" fontId="8" fillId="3" borderId="0" xfId="0" applyFont="1" applyFill="1"/>
    <xf numFmtId="0" fontId="8" fillId="0" borderId="0" xfId="0" applyFont="1"/>
    <xf numFmtId="165" fontId="5" fillId="0" borderId="0" xfId="0" applyNumberFormat="1" applyFont="1"/>
    <xf numFmtId="165" fontId="5" fillId="3" borderId="0" xfId="0" applyNumberFormat="1" applyFont="1" applyFill="1"/>
    <xf numFmtId="167" fontId="0" fillId="0" borderId="0" xfId="0" applyNumberFormat="1"/>
    <xf numFmtId="0" fontId="10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B3" sqref="B3:M25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11" ht="15.75" customHeight="1" x14ac:dyDescent="0.25">
      <c r="A1" s="1" t="s">
        <v>0</v>
      </c>
    </row>
    <row r="2" spans="1:11" ht="15.75" customHeight="1" x14ac:dyDescent="0.2"/>
    <row r="3" spans="1:11" ht="15.75" customHeight="1" x14ac:dyDescent="0.25">
      <c r="B3" s="2" t="s">
        <v>1</v>
      </c>
    </row>
    <row r="4" spans="1:11" ht="15.75" customHeight="1" x14ac:dyDescent="0.25">
      <c r="C4" s="3" t="s">
        <v>2</v>
      </c>
    </row>
    <row r="5" spans="1:11" ht="15.75" customHeight="1" x14ac:dyDescent="0.25">
      <c r="B5" s="4"/>
      <c r="C5" s="3" t="s">
        <v>3</v>
      </c>
    </row>
    <row r="6" spans="1:11" ht="15.75" customHeight="1" x14ac:dyDescent="0.25">
      <c r="B6" s="4"/>
    </row>
    <row r="7" spans="1:11" ht="15.75" customHeight="1" x14ac:dyDescent="0.25">
      <c r="B7" s="2" t="s">
        <v>4</v>
      </c>
    </row>
    <row r="8" spans="1:11" ht="15.75" customHeight="1" x14ac:dyDescent="0.25">
      <c r="C8" s="3" t="s">
        <v>5</v>
      </c>
    </row>
    <row r="9" spans="1:11" ht="15.75" customHeight="1" x14ac:dyDescent="0.25">
      <c r="C9" s="3" t="s">
        <v>6</v>
      </c>
    </row>
    <row r="10" spans="1:11" ht="15.75" customHeight="1" x14ac:dyDescent="0.25">
      <c r="C10" s="3" t="s">
        <v>7</v>
      </c>
    </row>
    <row r="11" spans="1:11" ht="15.75" customHeight="1" x14ac:dyDescent="0.25">
      <c r="B11" s="4"/>
    </row>
    <row r="12" spans="1:11" ht="15.75" customHeight="1" x14ac:dyDescent="0.25">
      <c r="B12" s="2" t="s">
        <v>8</v>
      </c>
    </row>
    <row r="13" spans="1:11" ht="15.75" customHeight="1" x14ac:dyDescent="0.25">
      <c r="B13" s="2"/>
      <c r="C13" s="3" t="s">
        <v>9</v>
      </c>
    </row>
    <row r="14" spans="1:11" ht="15.75" customHeight="1" x14ac:dyDescent="0.2"/>
    <row r="15" spans="1:11" ht="15.75" customHeight="1" x14ac:dyDescent="0.25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25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25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25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25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25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25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25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25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2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activeCell="I8" sqref="I8"/>
    </sheetView>
  </sheetViews>
  <sheetFormatPr defaultColWidth="12.5703125" defaultRowHeight="15" customHeight="1" x14ac:dyDescent="0.2"/>
  <cols>
    <col min="1" max="6" width="12.5703125" customWidth="1"/>
  </cols>
  <sheetData>
    <row r="1" spans="1:16" ht="15.75" customHeight="1" x14ac:dyDescent="0.2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25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2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2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"/>
    <row r="37" spans="1:6" ht="15.75" customHeight="1" x14ac:dyDescent="0.2"/>
    <row r="38" spans="1:6" ht="15.75" customHeight="1" x14ac:dyDescent="0.2"/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1DC06-CC87-42D6-B7CB-DFBB762EE130}">
  <dimension ref="A1:K60"/>
  <sheetViews>
    <sheetView tabSelected="1" topLeftCell="A19" zoomScale="105" zoomScaleNormal="105" workbookViewId="0">
      <selection activeCell="H11" sqref="H11"/>
    </sheetView>
  </sheetViews>
  <sheetFormatPr defaultRowHeight="12.75" x14ac:dyDescent="0.2"/>
  <cols>
    <col min="1" max="1" width="14.140625" customWidth="1"/>
    <col min="2" max="2" width="17.140625" customWidth="1"/>
    <col min="3" max="3" width="13.7109375" customWidth="1"/>
    <col min="4" max="4" width="10.28515625" customWidth="1"/>
    <col min="5" max="5" width="11.7109375" customWidth="1"/>
    <col min="6" max="6" width="13.42578125" customWidth="1"/>
    <col min="7" max="7" width="21.28515625" customWidth="1"/>
    <col min="8" max="8" width="18.5703125" customWidth="1"/>
    <col min="9" max="9" width="27.5703125" customWidth="1"/>
    <col min="10" max="10" width="19.42578125" customWidth="1"/>
    <col min="11" max="11" width="24.7109375" customWidth="1"/>
  </cols>
  <sheetData>
    <row r="1" spans="1:11" x14ac:dyDescent="0.2">
      <c r="A1" s="7" t="s">
        <v>19</v>
      </c>
      <c r="B1" s="7" t="s">
        <v>20</v>
      </c>
      <c r="C1" s="7" t="s">
        <v>21</v>
      </c>
      <c r="D1" s="7" t="s">
        <v>22</v>
      </c>
      <c r="E1" s="10" t="s">
        <v>23</v>
      </c>
      <c r="F1" s="7" t="s">
        <v>24</v>
      </c>
      <c r="G1" s="10" t="s">
        <v>118</v>
      </c>
      <c r="H1" s="10" t="s">
        <v>117</v>
      </c>
      <c r="I1" s="10" t="s">
        <v>136</v>
      </c>
      <c r="J1" s="10" t="s">
        <v>137</v>
      </c>
      <c r="K1" s="10" t="s">
        <v>138</v>
      </c>
    </row>
    <row r="2" spans="1:11" x14ac:dyDescent="0.2">
      <c r="A2" s="5" t="s">
        <v>25</v>
      </c>
      <c r="B2" s="5" t="s">
        <v>61</v>
      </c>
      <c r="C2" s="5" t="s">
        <v>27</v>
      </c>
      <c r="D2" s="14">
        <v>1000</v>
      </c>
      <c r="E2" s="5">
        <v>30</v>
      </c>
      <c r="F2" s="5" t="s">
        <v>28</v>
      </c>
      <c r="G2" t="str">
        <f>IF(ISBLANK(F2),"UNKNOWN",F2)</f>
        <v>Electronics</v>
      </c>
      <c r="H2" s="14">
        <f>IF(ISBLANK(D2), "NO VALUE", D2)</f>
        <v>1000</v>
      </c>
      <c r="I2" s="16">
        <v>46050</v>
      </c>
      <c r="J2" t="s">
        <v>124</v>
      </c>
      <c r="K2" t="str" cm="1">
        <f t="array" ref="K2:K32">CONCATENATE(B2:B32," ",C2:C32)</f>
        <v>Laptop Dell</v>
      </c>
    </row>
    <row r="3" spans="1:11" x14ac:dyDescent="0.2">
      <c r="A3" s="8" t="s">
        <v>29</v>
      </c>
      <c r="B3" s="8" t="s">
        <v>30</v>
      </c>
      <c r="C3" s="8" t="s">
        <v>31</v>
      </c>
      <c r="D3" s="15">
        <v>80</v>
      </c>
      <c r="E3" s="8">
        <v>15</v>
      </c>
      <c r="F3" s="8" t="s">
        <v>32</v>
      </c>
      <c r="G3" t="str">
        <f>IF(ISBLANK(F3),"UNKNOWN",F3)</f>
        <v>Fashion</v>
      </c>
      <c r="H3" s="14">
        <f t="shared" ref="H3:H32" si="0">IF(ISBLANK(D3), "NO VALUE", D3)</f>
        <v>80</v>
      </c>
      <c r="I3" s="16">
        <v>46068</v>
      </c>
      <c r="J3" t="s">
        <v>124</v>
      </c>
      <c r="K3" t="str">
        <v>Sneakers Nike</v>
      </c>
    </row>
    <row r="4" spans="1:11" x14ac:dyDescent="0.2">
      <c r="A4" s="5" t="s">
        <v>33</v>
      </c>
      <c r="B4" s="5" t="s">
        <v>34</v>
      </c>
      <c r="C4" s="5" t="s">
        <v>35</v>
      </c>
      <c r="D4" s="14">
        <v>130</v>
      </c>
      <c r="E4" s="5">
        <v>40</v>
      </c>
      <c r="F4" s="5" t="s">
        <v>36</v>
      </c>
      <c r="G4" t="str">
        <f>IF(ISBLANK(F4),"UNKNOWN",F4)</f>
        <v>Kitchen</v>
      </c>
      <c r="H4" s="14">
        <f t="shared" si="0"/>
        <v>130</v>
      </c>
      <c r="I4" s="16">
        <v>46084</v>
      </c>
      <c r="J4" t="s">
        <v>124</v>
      </c>
      <c r="K4" t="str">
        <v>Coffee Maker Keurig</v>
      </c>
    </row>
    <row r="5" spans="1:11" x14ac:dyDescent="0.2">
      <c r="A5" s="8" t="s">
        <v>37</v>
      </c>
      <c r="B5" s="12" t="s">
        <v>96</v>
      </c>
      <c r="C5" s="8" t="s">
        <v>39</v>
      </c>
      <c r="D5" s="15">
        <v>900</v>
      </c>
      <c r="E5" s="8">
        <v>25</v>
      </c>
      <c r="F5" s="8" t="s">
        <v>28</v>
      </c>
      <c r="G5" t="str">
        <f>IF(ISBLANK(F5),"UNKNOWN",F5)</f>
        <v>Electronics</v>
      </c>
      <c r="H5" s="14">
        <f t="shared" si="0"/>
        <v>900</v>
      </c>
      <c r="I5" s="16">
        <v>46123</v>
      </c>
      <c r="J5" t="s">
        <v>124</v>
      </c>
      <c r="K5" t="str">
        <v>Smartphone Samsung</v>
      </c>
    </row>
    <row r="6" spans="1:11" x14ac:dyDescent="0.2">
      <c r="A6" s="5" t="s">
        <v>40</v>
      </c>
      <c r="B6" s="5" t="s">
        <v>41</v>
      </c>
      <c r="C6" s="5" t="s">
        <v>42</v>
      </c>
      <c r="D6" s="14">
        <v>70</v>
      </c>
      <c r="E6" s="5">
        <v>20</v>
      </c>
      <c r="F6" s="5"/>
      <c r="G6" t="str">
        <f>IF(ISBLANK(F6),"UNKNOWN",F6)</f>
        <v>UNKNOWN</v>
      </c>
      <c r="H6" s="14">
        <f t="shared" si="0"/>
        <v>70</v>
      </c>
      <c r="I6" s="16">
        <v>46164</v>
      </c>
      <c r="J6" t="s">
        <v>124</v>
      </c>
      <c r="K6" t="str">
        <v>Backpack North Face</v>
      </c>
    </row>
    <row r="7" spans="1:11" x14ac:dyDescent="0.2">
      <c r="A7" s="8" t="s">
        <v>43</v>
      </c>
      <c r="B7" s="8" t="s">
        <v>44</v>
      </c>
      <c r="C7" s="8" t="s">
        <v>45</v>
      </c>
      <c r="D7" s="15"/>
      <c r="E7" s="8">
        <v>45</v>
      </c>
      <c r="F7" s="8"/>
      <c r="G7" t="str">
        <f>IF(ISBLANK(F7),"UNKNOWN",F7)</f>
        <v>UNKNOWN</v>
      </c>
      <c r="H7" s="14" t="str">
        <f t="shared" si="0"/>
        <v>NO VALUE</v>
      </c>
      <c r="I7" s="16">
        <v>46180</v>
      </c>
      <c r="J7" t="s">
        <v>125</v>
      </c>
      <c r="K7" t="str">
        <v>Headphones Sony</v>
      </c>
    </row>
    <row r="8" spans="1:11" x14ac:dyDescent="0.2">
      <c r="A8" s="5" t="s">
        <v>47</v>
      </c>
      <c r="B8" s="5" t="s">
        <v>48</v>
      </c>
      <c r="C8" s="5" t="s">
        <v>49</v>
      </c>
      <c r="D8" s="14">
        <v>30</v>
      </c>
      <c r="E8" s="5">
        <v>5</v>
      </c>
      <c r="F8" s="5" t="s">
        <v>32</v>
      </c>
      <c r="G8" t="str">
        <f>IF(ISBLANK(F8),"UNKNOWN",F8)</f>
        <v>Fashion</v>
      </c>
      <c r="H8" s="14">
        <f t="shared" si="0"/>
        <v>30</v>
      </c>
      <c r="I8" s="16">
        <v>46222</v>
      </c>
      <c r="J8" t="s">
        <v>125</v>
      </c>
      <c r="K8" t="str">
        <v>T-shirt Adidas</v>
      </c>
    </row>
    <row r="9" spans="1:11" x14ac:dyDescent="0.2">
      <c r="A9" s="8" t="s">
        <v>50</v>
      </c>
      <c r="B9" s="8" t="s">
        <v>51</v>
      </c>
      <c r="C9" s="8" t="s">
        <v>52</v>
      </c>
      <c r="D9" s="15">
        <v>90</v>
      </c>
      <c r="E9" s="8">
        <v>35</v>
      </c>
      <c r="F9" s="8" t="s">
        <v>36</v>
      </c>
      <c r="G9" t="str">
        <f>IF(ISBLANK(F9),"UNKNOWN",F9)</f>
        <v>Kitchen</v>
      </c>
      <c r="H9" s="14">
        <f t="shared" si="0"/>
        <v>90</v>
      </c>
      <c r="I9" s="16">
        <v>46257</v>
      </c>
      <c r="J9" t="s">
        <v>125</v>
      </c>
      <c r="K9" t="str">
        <v>Blender Ninja</v>
      </c>
    </row>
    <row r="10" spans="1:11" x14ac:dyDescent="0.2">
      <c r="A10" s="5" t="s">
        <v>53</v>
      </c>
      <c r="B10" s="5" t="s">
        <v>54</v>
      </c>
      <c r="C10" s="5" t="s">
        <v>55</v>
      </c>
      <c r="D10" s="14">
        <v>500</v>
      </c>
      <c r="E10" s="5">
        <v>50</v>
      </c>
      <c r="F10" s="5" t="s">
        <v>28</v>
      </c>
      <c r="G10" t="str">
        <f>IF(ISBLANK(F10),"UNKNOWN",F10)</f>
        <v>Electronics</v>
      </c>
      <c r="H10" s="14">
        <f t="shared" si="0"/>
        <v>500</v>
      </c>
      <c r="I10" s="16">
        <v>46270</v>
      </c>
      <c r="J10" t="s">
        <v>125</v>
      </c>
      <c r="K10" t="str">
        <v>Tablet Apple</v>
      </c>
    </row>
    <row r="11" spans="1:11" x14ac:dyDescent="0.2">
      <c r="A11" s="8" t="s">
        <v>56</v>
      </c>
      <c r="B11" s="8" t="s">
        <v>57</v>
      </c>
      <c r="C11" s="8" t="s">
        <v>58</v>
      </c>
      <c r="D11" s="15">
        <v>130</v>
      </c>
      <c r="E11" s="8">
        <v>10</v>
      </c>
      <c r="F11" s="8" t="s">
        <v>59</v>
      </c>
      <c r="G11" t="str">
        <f>IF(ISBLANK(F11),"UNKNOWN",F11)</f>
        <v>Outdoor</v>
      </c>
      <c r="H11" s="14">
        <f t="shared" si="0"/>
        <v>130</v>
      </c>
      <c r="I11" s="16">
        <v>46309</v>
      </c>
      <c r="J11" t="s">
        <v>125</v>
      </c>
      <c r="K11" t="str">
        <v>Hiking Boots Timberland</v>
      </c>
    </row>
    <row r="12" spans="1:11" x14ac:dyDescent="0.2">
      <c r="A12" s="5" t="s">
        <v>60</v>
      </c>
      <c r="B12" s="5" t="s">
        <v>61</v>
      </c>
      <c r="C12" s="5" t="s">
        <v>62</v>
      </c>
      <c r="D12" s="14">
        <v>950</v>
      </c>
      <c r="E12" s="5">
        <v>25</v>
      </c>
      <c r="F12" s="5" t="s">
        <v>28</v>
      </c>
      <c r="G12" t="str">
        <f>IF(ISBLANK(F12),"UNKNOWN",F12)</f>
        <v>Electronics</v>
      </c>
      <c r="H12" s="14">
        <f t="shared" si="0"/>
        <v>950</v>
      </c>
      <c r="I12" s="16">
        <v>46190</v>
      </c>
      <c r="J12" t="s">
        <v>126</v>
      </c>
      <c r="K12" t="str">
        <v>Laptop HP</v>
      </c>
    </row>
    <row r="13" spans="1:11" x14ac:dyDescent="0.2">
      <c r="A13" s="8" t="s">
        <v>63</v>
      </c>
      <c r="B13" s="8" t="s">
        <v>30</v>
      </c>
      <c r="C13" s="8" t="s">
        <v>49</v>
      </c>
      <c r="D13" s="15">
        <v>90</v>
      </c>
      <c r="E13" s="8">
        <v>40</v>
      </c>
      <c r="F13" s="8"/>
      <c r="G13" t="str">
        <f>IF(ISBLANK(F13),"UNKNOWN",F13)</f>
        <v>UNKNOWN</v>
      </c>
      <c r="H13" s="14">
        <f t="shared" si="0"/>
        <v>90</v>
      </c>
      <c r="I13" s="16">
        <v>46351</v>
      </c>
      <c r="J13" t="s">
        <v>127</v>
      </c>
      <c r="K13" t="str">
        <v>Sneakers Adidas</v>
      </c>
    </row>
    <row r="14" spans="1:11" x14ac:dyDescent="0.2">
      <c r="A14" s="5" t="s">
        <v>64</v>
      </c>
      <c r="B14" s="5" t="s">
        <v>34</v>
      </c>
      <c r="C14" s="5" t="s">
        <v>65</v>
      </c>
      <c r="D14" s="14">
        <v>120</v>
      </c>
      <c r="E14" s="5">
        <v>35</v>
      </c>
      <c r="F14" s="5"/>
      <c r="G14" t="str">
        <f>IF(ISBLANK(F14),"UNKNOWN",F14)</f>
        <v>UNKNOWN</v>
      </c>
      <c r="H14" s="14">
        <f t="shared" si="0"/>
        <v>120</v>
      </c>
      <c r="I14" s="16">
        <v>46364</v>
      </c>
      <c r="J14" t="s">
        <v>128</v>
      </c>
      <c r="K14" t="str">
        <v>Coffee Maker Nespresso</v>
      </c>
    </row>
    <row r="15" spans="1:11" x14ac:dyDescent="0.2">
      <c r="A15" s="8" t="s">
        <v>66</v>
      </c>
      <c r="B15" s="8" t="s">
        <v>67</v>
      </c>
      <c r="C15" s="8" t="s">
        <v>68</v>
      </c>
      <c r="D15" s="15">
        <v>150</v>
      </c>
      <c r="E15" s="8">
        <v>15</v>
      </c>
      <c r="F15" s="12" t="s">
        <v>28</v>
      </c>
      <c r="G15" t="str">
        <f>IF(ISBLANK(F15),"UNKNOWN",F15)</f>
        <v>Electronics</v>
      </c>
      <c r="H15" s="14">
        <f t="shared" si="0"/>
        <v>150</v>
      </c>
      <c r="I15" s="16">
        <v>46071</v>
      </c>
      <c r="J15" t="s">
        <v>129</v>
      </c>
      <c r="K15" t="str">
        <v>Smartwatch Fitbit</v>
      </c>
    </row>
    <row r="16" spans="1:11" x14ac:dyDescent="0.2">
      <c r="A16" s="5" t="s">
        <v>69</v>
      </c>
      <c r="B16" s="5" t="s">
        <v>44</v>
      </c>
      <c r="C16" s="5" t="s">
        <v>71</v>
      </c>
      <c r="D16" s="14">
        <v>250</v>
      </c>
      <c r="E16" s="5">
        <v>20</v>
      </c>
      <c r="F16" s="13" t="s">
        <v>28</v>
      </c>
      <c r="G16" t="str">
        <f>IF(ISBLANK(F16),"UNKNOWN",F16)</f>
        <v>Electronics</v>
      </c>
      <c r="H16" s="14">
        <f t="shared" si="0"/>
        <v>250</v>
      </c>
      <c r="I16" s="16">
        <v>46128</v>
      </c>
      <c r="J16" t="s">
        <v>130</v>
      </c>
      <c r="K16" t="str">
        <v>Headphones Bose</v>
      </c>
    </row>
    <row r="17" spans="1:11" x14ac:dyDescent="0.2">
      <c r="A17" s="8" t="s">
        <v>72</v>
      </c>
      <c r="B17" s="8" t="s">
        <v>73</v>
      </c>
      <c r="C17" s="8" t="s">
        <v>74</v>
      </c>
      <c r="D17" s="15">
        <v>50</v>
      </c>
      <c r="E17" s="8">
        <v>35</v>
      </c>
      <c r="F17" s="8" t="s">
        <v>75</v>
      </c>
      <c r="G17" t="str">
        <f>IF(ISBLANK(F17),"UNKNOWN",F17)</f>
        <v>Accessories</v>
      </c>
      <c r="H17" s="14">
        <f t="shared" si="0"/>
        <v>50</v>
      </c>
      <c r="I17" s="16">
        <v>46255</v>
      </c>
      <c r="J17" t="s">
        <v>129</v>
      </c>
      <c r="K17" t="str">
        <v>Laptop Bag Samsonite</v>
      </c>
    </row>
    <row r="18" spans="1:11" x14ac:dyDescent="0.2">
      <c r="A18" s="5" t="s">
        <v>76</v>
      </c>
      <c r="B18" s="5" t="s">
        <v>67</v>
      </c>
      <c r="C18" s="5" t="s">
        <v>77</v>
      </c>
      <c r="D18" s="14">
        <v>160</v>
      </c>
      <c r="E18" s="5">
        <v>15</v>
      </c>
      <c r="F18" s="13" t="s">
        <v>28</v>
      </c>
      <c r="G18" t="str">
        <f>IF(ISBLANK(F18),"UNKNOWN",F18)</f>
        <v>Electronics</v>
      </c>
      <c r="H18" s="14">
        <f t="shared" si="0"/>
        <v>160</v>
      </c>
      <c r="I18" s="16">
        <v>46254</v>
      </c>
      <c r="J18" t="s">
        <v>131</v>
      </c>
      <c r="K18" t="str">
        <v>Smartwatch Huawei</v>
      </c>
    </row>
    <row r="19" spans="1:11" x14ac:dyDescent="0.2">
      <c r="A19" s="8" t="s">
        <v>78</v>
      </c>
      <c r="B19" s="8" t="s">
        <v>61</v>
      </c>
      <c r="C19" s="8" t="s">
        <v>79</v>
      </c>
      <c r="D19" s="15">
        <v>980</v>
      </c>
      <c r="E19" s="8">
        <v>10</v>
      </c>
      <c r="F19" s="8" t="s">
        <v>28</v>
      </c>
      <c r="G19" t="str">
        <f>IF(ISBLANK(F19),"UNKNOWN",F19)</f>
        <v>Electronics</v>
      </c>
      <c r="H19" s="14">
        <f t="shared" si="0"/>
        <v>980</v>
      </c>
      <c r="I19" s="16">
        <v>46049</v>
      </c>
      <c r="J19" t="s">
        <v>132</v>
      </c>
      <c r="K19" t="str">
        <v>Laptop Asus</v>
      </c>
    </row>
    <row r="20" spans="1:11" x14ac:dyDescent="0.2">
      <c r="A20" s="5" t="s">
        <v>80</v>
      </c>
      <c r="B20" s="5" t="s">
        <v>81</v>
      </c>
      <c r="C20" s="5" t="s">
        <v>82</v>
      </c>
      <c r="D20" s="14">
        <v>150</v>
      </c>
      <c r="E20" s="5">
        <v>15</v>
      </c>
      <c r="F20" s="5" t="s">
        <v>32</v>
      </c>
      <c r="G20" t="str">
        <f>IF(ISBLANK(F20),"UNKNOWN",F20)</f>
        <v>Fashion</v>
      </c>
      <c r="H20" s="14">
        <f t="shared" si="0"/>
        <v>150</v>
      </c>
      <c r="I20" s="16">
        <v>46082</v>
      </c>
      <c r="J20" t="s">
        <v>125</v>
      </c>
      <c r="K20" t="str">
        <v>Sunglasses Oakley</v>
      </c>
    </row>
    <row r="21" spans="1:11" x14ac:dyDescent="0.2">
      <c r="A21" s="8" t="s">
        <v>83</v>
      </c>
      <c r="B21" s="8" t="s">
        <v>84</v>
      </c>
      <c r="C21" s="8" t="s">
        <v>85</v>
      </c>
      <c r="D21" s="15"/>
      <c r="E21" s="8">
        <v>10</v>
      </c>
      <c r="F21" s="8" t="s">
        <v>59</v>
      </c>
      <c r="G21" t="str">
        <f>IF(ISBLANK(F21),"UNKNOWN",F21)</f>
        <v>Outdoor</v>
      </c>
      <c r="H21" s="14" t="str">
        <f t="shared" si="0"/>
        <v>NO VALUE</v>
      </c>
      <c r="I21" s="16">
        <v>46248</v>
      </c>
      <c r="J21" t="s">
        <v>124</v>
      </c>
      <c r="K21" t="str">
        <v>Camping Tent Coleman</v>
      </c>
    </row>
    <row r="22" spans="1:11" x14ac:dyDescent="0.2">
      <c r="A22" s="5" t="s">
        <v>86</v>
      </c>
      <c r="B22" s="5" t="s">
        <v>87</v>
      </c>
      <c r="C22" s="5" t="s">
        <v>88</v>
      </c>
      <c r="D22" s="14">
        <v>700</v>
      </c>
      <c r="E22" s="5">
        <v>50</v>
      </c>
      <c r="F22" s="5" t="s">
        <v>28</v>
      </c>
      <c r="G22" t="str">
        <f>IF(ISBLANK(F22),"UNKNOWN",F22)</f>
        <v>Electronics</v>
      </c>
      <c r="H22" s="14">
        <f t="shared" si="0"/>
        <v>700</v>
      </c>
      <c r="I22" s="16">
        <v>46156</v>
      </c>
      <c r="J22" t="s">
        <v>133</v>
      </c>
      <c r="K22" t="str">
        <v>Camera Nikon</v>
      </c>
    </row>
    <row r="23" spans="1:11" x14ac:dyDescent="0.2">
      <c r="A23" s="8" t="s">
        <v>89</v>
      </c>
      <c r="B23" s="8" t="s">
        <v>90</v>
      </c>
      <c r="C23" s="8" t="s">
        <v>91</v>
      </c>
      <c r="D23" s="15">
        <v>80</v>
      </c>
      <c r="E23" s="8">
        <v>20</v>
      </c>
      <c r="F23" s="8" t="s">
        <v>36</v>
      </c>
      <c r="G23" t="str">
        <f>IF(ISBLANK(F23),"UNKNOWN",F23)</f>
        <v>Kitchen</v>
      </c>
      <c r="H23" s="14">
        <f t="shared" si="0"/>
        <v>80</v>
      </c>
      <c r="I23" s="16">
        <v>46031</v>
      </c>
      <c r="J23" t="s">
        <v>129</v>
      </c>
      <c r="K23" t="str">
        <v>Microwave Panasonic</v>
      </c>
    </row>
    <row r="24" spans="1:11" x14ac:dyDescent="0.2">
      <c r="A24" s="5" t="s">
        <v>92</v>
      </c>
      <c r="B24" s="5" t="s">
        <v>93</v>
      </c>
      <c r="C24" s="5" t="s">
        <v>94</v>
      </c>
      <c r="D24" s="14">
        <v>150</v>
      </c>
      <c r="E24" s="5">
        <v>30</v>
      </c>
      <c r="F24" s="5"/>
      <c r="G24" t="str">
        <f>IF(ISBLANK(F24),"UNKNOWN",F24)</f>
        <v>UNKNOWN</v>
      </c>
      <c r="H24" s="14">
        <f t="shared" si="0"/>
        <v>150</v>
      </c>
      <c r="I24" s="16">
        <v>46222</v>
      </c>
      <c r="J24" t="s">
        <v>134</v>
      </c>
      <c r="K24" t="str">
        <v>Fitness Tracker Xiaomi</v>
      </c>
    </row>
    <row r="25" spans="1:11" x14ac:dyDescent="0.2">
      <c r="A25" s="5" t="s">
        <v>95</v>
      </c>
      <c r="B25" s="5" t="s">
        <v>96</v>
      </c>
      <c r="C25" s="5" t="s">
        <v>97</v>
      </c>
      <c r="D25" s="14">
        <v>800</v>
      </c>
      <c r="E25" s="5">
        <v>45</v>
      </c>
      <c r="F25" s="5" t="s">
        <v>28</v>
      </c>
      <c r="G25" t="str">
        <f>IF(ISBLANK(F25),"UNKNOWN",F25)</f>
        <v>Electronics</v>
      </c>
      <c r="H25" s="14">
        <f t="shared" si="0"/>
        <v>800</v>
      </c>
      <c r="I25" s="16">
        <v>46294</v>
      </c>
      <c r="J25" t="s">
        <v>129</v>
      </c>
      <c r="K25" t="str">
        <v>Smartphone Google</v>
      </c>
    </row>
    <row r="26" spans="1:11" x14ac:dyDescent="0.2">
      <c r="A26" s="8" t="s">
        <v>98</v>
      </c>
      <c r="B26" s="8" t="s">
        <v>81</v>
      </c>
      <c r="C26" s="8" t="s">
        <v>99</v>
      </c>
      <c r="D26" s="15"/>
      <c r="E26" s="8">
        <v>25</v>
      </c>
      <c r="F26" s="8" t="s">
        <v>32</v>
      </c>
      <c r="G26" t="str">
        <f>IF(ISBLANK(F26),"UNKNOWN",F26)</f>
        <v>Fashion</v>
      </c>
      <c r="H26" s="14" t="str">
        <f t="shared" si="0"/>
        <v>NO VALUE</v>
      </c>
      <c r="I26" s="16">
        <v>46176</v>
      </c>
      <c r="J26" t="s">
        <v>129</v>
      </c>
      <c r="K26" t="str">
        <v>Sunglasses Ray-Ban</v>
      </c>
    </row>
    <row r="27" spans="1:11" x14ac:dyDescent="0.2">
      <c r="A27" s="5" t="s">
        <v>100</v>
      </c>
      <c r="B27" s="5" t="s">
        <v>51</v>
      </c>
      <c r="C27" s="5" t="s">
        <v>101</v>
      </c>
      <c r="D27" s="14">
        <v>400</v>
      </c>
      <c r="E27" s="5">
        <v>40</v>
      </c>
      <c r="F27" s="5" t="s">
        <v>36</v>
      </c>
      <c r="G27" t="str">
        <f>IF(ISBLANK(F27),"UNKNOWN",F27)</f>
        <v>Kitchen</v>
      </c>
      <c r="H27" s="14">
        <f t="shared" si="0"/>
        <v>400</v>
      </c>
      <c r="I27" s="16">
        <v>46214</v>
      </c>
      <c r="J27" t="s">
        <v>129</v>
      </c>
      <c r="K27" t="str">
        <v>Blender Vitamix</v>
      </c>
    </row>
    <row r="28" spans="1:11" x14ac:dyDescent="0.2">
      <c r="A28" s="5" t="s">
        <v>102</v>
      </c>
      <c r="B28" s="5" t="s">
        <v>103</v>
      </c>
      <c r="C28" s="5" t="s">
        <v>104</v>
      </c>
      <c r="D28" s="14">
        <v>60</v>
      </c>
      <c r="E28" s="5">
        <v>30</v>
      </c>
      <c r="F28" s="5" t="s">
        <v>32</v>
      </c>
      <c r="G28" t="str">
        <f>IF(ISBLANK(F28),"UNKNOWN",F28)</f>
        <v>Fashion</v>
      </c>
      <c r="H28" s="14">
        <f t="shared" si="0"/>
        <v>60</v>
      </c>
      <c r="I28" s="16">
        <v>46088</v>
      </c>
      <c r="J28" t="s">
        <v>129</v>
      </c>
      <c r="K28" t="str">
        <v>Dress Zara</v>
      </c>
    </row>
    <row r="29" spans="1:11" x14ac:dyDescent="0.2">
      <c r="A29" s="8" t="s">
        <v>105</v>
      </c>
      <c r="B29" s="8" t="s">
        <v>106</v>
      </c>
      <c r="C29" s="8" t="s">
        <v>107</v>
      </c>
      <c r="D29" s="15">
        <v>40</v>
      </c>
      <c r="E29" s="8">
        <v>10</v>
      </c>
      <c r="F29" s="8" t="s">
        <v>36</v>
      </c>
      <c r="G29" t="str">
        <f>IF(ISBLANK(F29),"UNKNOWN",F29)</f>
        <v>Kitchen</v>
      </c>
      <c r="H29" s="14">
        <f t="shared" si="0"/>
        <v>40</v>
      </c>
      <c r="I29" s="16">
        <v>46125</v>
      </c>
      <c r="J29" t="s">
        <v>129</v>
      </c>
      <c r="K29" t="str">
        <v>Toaster Hamilton</v>
      </c>
    </row>
    <row r="30" spans="1:11" x14ac:dyDescent="0.2">
      <c r="A30" s="5" t="s">
        <v>108</v>
      </c>
      <c r="B30" s="5" t="s">
        <v>93</v>
      </c>
      <c r="C30" s="5" t="s">
        <v>109</v>
      </c>
      <c r="D30" s="14">
        <v>130</v>
      </c>
      <c r="E30" s="5">
        <v>5</v>
      </c>
      <c r="F30" s="5" t="s">
        <v>28</v>
      </c>
      <c r="G30" t="str">
        <f>IF(ISBLANK(F30),"UNKNOWN",F30)</f>
        <v>Electronics</v>
      </c>
      <c r="H30" s="14">
        <f t="shared" si="0"/>
        <v>130</v>
      </c>
      <c r="I30" s="16">
        <v>46166</v>
      </c>
      <c r="J30" t="s">
        <v>129</v>
      </c>
      <c r="K30" t="str">
        <v>Fitness Tracker Garmin</v>
      </c>
    </row>
    <row r="31" spans="1:11" x14ac:dyDescent="0.2">
      <c r="A31" s="8" t="s">
        <v>110</v>
      </c>
      <c r="B31" s="8" t="s">
        <v>111</v>
      </c>
      <c r="C31" s="8" t="s">
        <v>112</v>
      </c>
      <c r="D31" s="15">
        <v>50</v>
      </c>
      <c r="E31" s="8">
        <v>50</v>
      </c>
      <c r="F31" s="8" t="s">
        <v>32</v>
      </c>
      <c r="G31" t="str">
        <f>IF(ISBLANK(F31),"UNKNOWN",F31)</f>
        <v>Fashion</v>
      </c>
      <c r="H31" s="14">
        <f t="shared" si="0"/>
        <v>50</v>
      </c>
      <c r="I31" s="16">
        <v>46358</v>
      </c>
      <c r="J31" t="s">
        <v>129</v>
      </c>
      <c r="K31" t="str">
        <v>Jeans Levi's</v>
      </c>
    </row>
    <row r="32" spans="1:11" x14ac:dyDescent="0.2">
      <c r="A32" s="8" t="s">
        <v>113</v>
      </c>
      <c r="B32" s="8" t="s">
        <v>114</v>
      </c>
      <c r="C32" s="8" t="s">
        <v>115</v>
      </c>
      <c r="D32" s="15">
        <v>100</v>
      </c>
      <c r="E32" s="8">
        <v>20</v>
      </c>
      <c r="F32" s="8" t="s">
        <v>75</v>
      </c>
      <c r="G32" t="str">
        <f>IF(ISBLANK(F32),"UNKNOWN",F32)</f>
        <v>Accessories</v>
      </c>
      <c r="H32" s="14">
        <f t="shared" si="0"/>
        <v>100</v>
      </c>
      <c r="I32" s="16">
        <v>46212</v>
      </c>
      <c r="J32" t="s">
        <v>135</v>
      </c>
      <c r="K32" t="str">
        <v>Watch Casio</v>
      </c>
    </row>
    <row r="38" spans="1:11" ht="15.75" x14ac:dyDescent="0.25">
      <c r="A38" s="2" t="s">
        <v>1</v>
      </c>
    </row>
    <row r="39" spans="1:11" ht="15.75" x14ac:dyDescent="0.25">
      <c r="B39" s="3" t="s">
        <v>2</v>
      </c>
      <c r="J39" s="9" t="s">
        <v>116</v>
      </c>
    </row>
    <row r="40" spans="1:11" ht="15.75" x14ac:dyDescent="0.25">
      <c r="A40" s="4"/>
      <c r="B40" s="3" t="s">
        <v>3</v>
      </c>
      <c r="J40" s="9" t="s">
        <v>116</v>
      </c>
    </row>
    <row r="41" spans="1:11" ht="15" x14ac:dyDescent="0.25">
      <c r="A41" s="4"/>
    </row>
    <row r="42" spans="1:11" ht="15.75" x14ac:dyDescent="0.25">
      <c r="A42" s="2" t="s">
        <v>4</v>
      </c>
    </row>
    <row r="43" spans="1:11" ht="15.75" x14ac:dyDescent="0.25">
      <c r="B43" s="3" t="s">
        <v>5</v>
      </c>
      <c r="H43" s="9" t="s">
        <v>119</v>
      </c>
      <c r="J43" s="11" t="s">
        <v>120</v>
      </c>
    </row>
    <row r="44" spans="1:11" ht="15.75" x14ac:dyDescent="0.25">
      <c r="B44" s="3" t="s">
        <v>6</v>
      </c>
      <c r="H44" s="9" t="s">
        <v>119</v>
      </c>
      <c r="J44" s="11" t="s">
        <v>121</v>
      </c>
    </row>
    <row r="45" spans="1:11" ht="15.75" x14ac:dyDescent="0.25">
      <c r="B45" s="3" t="s">
        <v>7</v>
      </c>
      <c r="K45" s="9" t="s">
        <v>122</v>
      </c>
    </row>
    <row r="46" spans="1:11" ht="15" x14ac:dyDescent="0.25">
      <c r="A46" s="4"/>
    </row>
    <row r="47" spans="1:11" ht="15.75" x14ac:dyDescent="0.25">
      <c r="A47" s="2" t="s">
        <v>8</v>
      </c>
    </row>
    <row r="48" spans="1:11" ht="15.75" x14ac:dyDescent="0.25">
      <c r="A48" s="2"/>
      <c r="B48" s="3" t="s">
        <v>9</v>
      </c>
      <c r="I48" s="9" t="s">
        <v>123</v>
      </c>
    </row>
    <row r="49" spans="1:10" x14ac:dyDescent="0.2">
      <c r="J49" s="5"/>
    </row>
    <row r="50" spans="1:10" ht="15.75" x14ac:dyDescent="0.25">
      <c r="A50" s="2" t="s">
        <v>10</v>
      </c>
      <c r="B50" s="5"/>
      <c r="C50" s="5"/>
      <c r="D50" s="5"/>
      <c r="E50" s="5"/>
      <c r="F50" s="5"/>
      <c r="G50" s="5"/>
      <c r="H50" s="5"/>
      <c r="I50" s="5"/>
      <c r="J50" s="5"/>
    </row>
    <row r="51" spans="1:10" ht="15.75" x14ac:dyDescent="0.25">
      <c r="A51" s="5"/>
      <c r="B51" s="3" t="s">
        <v>11</v>
      </c>
      <c r="C51" s="5"/>
      <c r="D51" s="5"/>
      <c r="E51" s="5"/>
      <c r="F51" s="5"/>
      <c r="G51" s="5"/>
      <c r="H51" s="5"/>
      <c r="I51" s="5"/>
      <c r="J51" s="17" t="s">
        <v>122</v>
      </c>
    </row>
    <row r="52" spans="1:10" ht="15.75" x14ac:dyDescent="0.25">
      <c r="A52" s="5"/>
      <c r="B52" s="3" t="s">
        <v>12</v>
      </c>
      <c r="C52" s="5"/>
      <c r="D52" s="5"/>
      <c r="E52" s="5"/>
      <c r="F52" s="5"/>
      <c r="G52" s="5"/>
      <c r="H52" s="5"/>
      <c r="I52" s="5"/>
      <c r="J52" s="17" t="s">
        <v>122</v>
      </c>
    </row>
    <row r="53" spans="1:10" x14ac:dyDescent="0.2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5.75" x14ac:dyDescent="0.25">
      <c r="A54" s="2" t="s">
        <v>13</v>
      </c>
      <c r="B54" s="5"/>
      <c r="C54" s="5"/>
      <c r="D54" s="5"/>
      <c r="E54" s="5"/>
      <c r="F54" s="5"/>
      <c r="G54" s="5"/>
      <c r="H54" s="5"/>
      <c r="I54" s="5"/>
      <c r="J54" s="5"/>
    </row>
    <row r="55" spans="1:10" ht="15.75" x14ac:dyDescent="0.25">
      <c r="A55" s="5"/>
      <c r="B55" s="3" t="s">
        <v>14</v>
      </c>
      <c r="C55" s="5"/>
      <c r="D55" s="5"/>
      <c r="E55" s="5"/>
      <c r="F55" s="5"/>
      <c r="G55" s="5"/>
      <c r="H55" s="17" t="s">
        <v>122</v>
      </c>
      <c r="I55" s="5"/>
      <c r="J55" s="5"/>
    </row>
    <row r="56" spans="1:10" ht="15.75" x14ac:dyDescent="0.25">
      <c r="A56" s="5"/>
      <c r="B56" s="3" t="s">
        <v>15</v>
      </c>
      <c r="C56" s="5"/>
      <c r="D56" s="5"/>
      <c r="E56" s="5"/>
      <c r="F56" s="5"/>
      <c r="G56" s="5"/>
      <c r="H56" s="17" t="s">
        <v>122</v>
      </c>
      <c r="I56" s="5"/>
      <c r="J56" s="5"/>
    </row>
    <row r="57" spans="1:10" x14ac:dyDescent="0.2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5.75" x14ac:dyDescent="0.25">
      <c r="A58" s="2" t="s">
        <v>16</v>
      </c>
      <c r="B58" s="5"/>
      <c r="C58" s="5"/>
      <c r="D58" s="5"/>
      <c r="E58" s="5"/>
      <c r="F58" s="5"/>
      <c r="G58" s="5"/>
      <c r="H58" s="5"/>
      <c r="I58" s="5"/>
      <c r="J58" s="5"/>
    </row>
    <row r="59" spans="1:10" ht="15.75" x14ac:dyDescent="0.25">
      <c r="A59" s="5"/>
      <c r="B59" s="3" t="s">
        <v>17</v>
      </c>
      <c r="C59" s="5"/>
      <c r="D59" s="5"/>
      <c r="E59" s="5"/>
      <c r="F59" s="5"/>
      <c r="G59" s="5"/>
      <c r="H59" s="5"/>
      <c r="I59" s="5"/>
      <c r="J59" s="17" t="s">
        <v>122</v>
      </c>
    </row>
    <row r="60" spans="1:10" ht="15.75" x14ac:dyDescent="0.25">
      <c r="A60" s="5"/>
      <c r="B60" s="3" t="s">
        <v>18</v>
      </c>
      <c r="C60" s="5"/>
      <c r="D60" s="5"/>
      <c r="E60" s="5"/>
      <c r="F60" s="5"/>
      <c r="G60" s="5"/>
      <c r="H60" s="5"/>
      <c r="I60" s="5"/>
      <c r="J60" s="9" t="s">
        <v>122</v>
      </c>
    </row>
  </sheetData>
  <conditionalFormatting sqref="D2:D3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{C74918D7-815B-4462-A304-88ED7B5E48C5}</x14:id>
        </ext>
      </extLst>
    </cfRule>
  </conditionalFormatting>
  <conditionalFormatting sqref="F3">
    <cfRule type="containsText" dxfId="3" priority="3" operator="containsText" text="Electronics">
      <formula>NOT(ISERROR(SEARCH("Electronics",F3)))</formula>
    </cfRule>
  </conditionalFormatting>
  <conditionalFormatting sqref="F2:F32">
    <cfRule type="containsText" dxfId="2" priority="2" operator="containsText" text="Electronics">
      <formula>NOT(ISERROR(SEARCH("Electronics",F2)))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4918D7-815B-4462-A304-88ED7B5E48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shameera ashraf</cp:lastModifiedBy>
  <dcterms:created xsi:type="dcterms:W3CDTF">2026-10-15T22:17:30Z</dcterms:created>
  <dcterms:modified xsi:type="dcterms:W3CDTF">2026-10-15T22:17:30Z</dcterms:modified>
</cp:coreProperties>
</file>